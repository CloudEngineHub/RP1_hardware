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15596\Desktop\"/>
    </mc:Choice>
  </mc:AlternateContent>
  <xr:revisionPtr revIDLastSave="0" documentId="13_ncr:1_{B07BF254-E675-4E76-A57A-3E9D3DFCE9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基本信息" sheetId="1" r:id="rId1"/>
    <sheet name="附图1" sheetId="2" r:id="rId2"/>
    <sheet name="附图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"/>
  <c r="A2" i="2"/>
  <c r="A1" i="2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22914369CC94B629AFD1D5AB6E34DE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955" y="59055"/>
          <a:ext cx="5753100" cy="5543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8744D6D509A4B2D9A87698C6921E5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207500"/>
          <a:ext cx="5962650" cy="381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C4928B74F0AA4FDAA98752FEAF11365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572000"/>
          <a:ext cx="8496300" cy="7248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E2F1D1276914D8E8459EDA1951F88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145645"/>
          <a:ext cx="9229725" cy="49053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<sst xmlns="http://schemas.openxmlformats.org/spreadsheetml/2006/main" count="56" uniqueCount="54">
  <si>
    <t>上海萝博派对科技有限公司 
PCBA加工要求文件</t>
  </si>
  <si>
    <t>物料名称：</t>
  </si>
  <si>
    <t>工程文件名</t>
  </si>
  <si>
    <t>存货编码：</t>
  </si>
  <si>
    <t>版本号：</t>
  </si>
  <si>
    <t>线路板层数：</t>
  </si>
  <si>
    <t>板厚(mm)：</t>
  </si>
  <si>
    <t>叠层顺序：</t>
  </si>
  <si>
    <t>板材料：</t>
  </si>
  <si>
    <t>FR-4</t>
  </si>
  <si>
    <t>板材品牌：</t>
  </si>
  <si>
    <t>油墨颜色：</t>
  </si>
  <si>
    <t>黑色</t>
  </si>
  <si>
    <t>丝印颜色：</t>
  </si>
  <si>
    <t>白色</t>
  </si>
  <si>
    <t>加工数量：</t>
  </si>
  <si>
    <t>按合同数量</t>
  </si>
  <si>
    <t>加工方式：</t>
  </si>
  <si>
    <t>按GERBER</t>
  </si>
  <si>
    <t>表面处理</t>
  </si>
  <si>
    <t>沉金</t>
  </si>
  <si>
    <t>过孔处理：</t>
  </si>
  <si>
    <t>树脂塞孔</t>
  </si>
  <si>
    <t>表面铜厚</t>
  </si>
  <si>
    <t>1OZ</t>
  </si>
  <si>
    <t>内层铜厚：</t>
  </si>
  <si>
    <t>0.5OZ</t>
  </si>
  <si>
    <t>备注</t>
  </si>
  <si>
    <t>是否阻抗控制</t>
  </si>
  <si>
    <t>是</t>
  </si>
  <si>
    <t>说明：</t>
  </si>
  <si>
    <t>详见附图1</t>
  </si>
  <si>
    <t>相关标准</t>
  </si>
  <si>
    <t>ROHS</t>
  </si>
  <si>
    <t>提供报告：</t>
  </si>
  <si>
    <t>拼板方式</t>
  </si>
  <si>
    <t>供应商自行拼板</t>
  </si>
  <si>
    <t>标签区域</t>
  </si>
  <si>
    <t>不固定自行贴</t>
  </si>
  <si>
    <t>TOP层100Ω
差分阻抗匹配</t>
  </si>
  <si>
    <t>BOT层100Ω
差分阻抗匹配</t>
  </si>
  <si>
    <t>BOT层90Ω
差分阻抗匹配</t>
  </si>
  <si>
    <t>SIG03层120Ω
差分阻抗匹配</t>
  </si>
  <si>
    <t>IPC标准</t>
    <phoneticPr fontId="3" type="noConversion"/>
  </si>
  <si>
    <t>二级</t>
    <phoneticPr fontId="3" type="noConversion"/>
  </si>
  <si>
    <t>1、TOP 2、GND02 3、SIG03 4、GND04  5、GND05 6、BOT</t>
    <phoneticPr fontId="3" type="noConversion"/>
  </si>
  <si>
    <t>主控板</t>
    <phoneticPr fontId="3" type="noConversion"/>
  </si>
  <si>
    <t>RBE_主控_CTRL_MAIN_REV.A</t>
    <phoneticPr fontId="3" type="noConversion"/>
  </si>
  <si>
    <t>V1.6.1pro</t>
    <phoneticPr fontId="3" type="noConversion"/>
  </si>
  <si>
    <t>检测报告、工艺参数报告，
四线低阻测试</t>
    <phoneticPr fontId="3" type="noConversion"/>
  </si>
  <si>
    <t>阻抗处理：</t>
    <phoneticPr fontId="3" type="noConversion"/>
  </si>
  <si>
    <t>±5%</t>
    <phoneticPr fontId="3" type="noConversion"/>
  </si>
  <si>
    <t>生益A级	S1000-2M</t>
    <phoneticPr fontId="3" type="noConversion"/>
  </si>
  <si>
    <t>YCL.E000278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</si>
</sst>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75" zoomScaleNormal="175" workbookViewId="0">
      <selection activeCell="D10" sqref="D10"/>
    </sheetView>
  </sheetViews>
  <sheetFormatPr defaultColWidth="9" defaultRowHeight="13.5" x14ac:dyDescent="0.3"/>
  <cols>
    <col min="1" max="1" width="14" style="2" customWidth="1"/>
    <col min="2" max="2" width="33" style="2" customWidth="1"/>
    <col min="3" max="3" width="12" style="2" customWidth="1"/>
    <col min="4" max="4" width="23.73046875" style="2" customWidth="1"/>
  </cols>
  <sheetData>
    <row r="1" spans="1:4" ht="41.1" customHeight="1" x14ac:dyDescent="0.3">
      <c r="A1" s="15" t="s">
        <v>0</v>
      </c>
      <c r="B1" s="16"/>
      <c r="C1" s="16"/>
      <c r="D1" s="17"/>
    </row>
    <row r="2" spans="1:4" s="1" customFormat="1" ht="42.95" customHeight="1" x14ac:dyDescent="0.3">
      <c r="A2" s="3" t="s">
        <v>1</v>
      </c>
      <c r="B2" s="12" t="s">
        <v>46</v>
      </c>
      <c r="C2" s="4" t="s">
        <v>2</v>
      </c>
      <c r="D2" s="13" t="s">
        <v>47</v>
      </c>
    </row>
    <row r="3" spans="1:4" ht="20.100000000000001" customHeight="1" x14ac:dyDescent="0.3">
      <c r="A3" s="5" t="s">
        <v>3</v>
      </c>
      <c r="B3" s="11" t="s">
        <v>53</v>
      </c>
      <c r="C3" s="6" t="s">
        <v>4</v>
      </c>
      <c r="D3" s="11" t="s">
        <v>48</v>
      </c>
    </row>
    <row r="4" spans="1:4" ht="20.100000000000001" customHeight="1" x14ac:dyDescent="0.3">
      <c r="A4" s="5" t="s">
        <v>5</v>
      </c>
      <c r="B4" s="7">
        <v>6</v>
      </c>
      <c r="C4" s="6" t="s">
        <v>6</v>
      </c>
      <c r="D4" s="7">
        <v>1.6</v>
      </c>
    </row>
    <row r="5" spans="1:4" ht="36.950000000000003" customHeight="1" x14ac:dyDescent="0.3">
      <c r="A5" s="5" t="s">
        <v>7</v>
      </c>
      <c r="B5" s="12" t="s">
        <v>45</v>
      </c>
      <c r="C5" s="6"/>
      <c r="D5" s="7"/>
    </row>
    <row r="6" spans="1:4" ht="20.100000000000001" customHeight="1" x14ac:dyDescent="0.3">
      <c r="A6" s="5" t="s">
        <v>8</v>
      </c>
      <c r="B6" s="7" t="s">
        <v>9</v>
      </c>
      <c r="C6" s="6" t="s">
        <v>10</v>
      </c>
      <c r="D6" s="11" t="s">
        <v>52</v>
      </c>
    </row>
    <row r="7" spans="1:4" ht="20.100000000000001" customHeight="1" x14ac:dyDescent="0.3">
      <c r="A7" s="5" t="s">
        <v>11</v>
      </c>
      <c r="B7" s="7" t="s">
        <v>12</v>
      </c>
      <c r="C7" s="6" t="s">
        <v>13</v>
      </c>
      <c r="D7" s="7" t="s">
        <v>14</v>
      </c>
    </row>
    <row r="8" spans="1:4" ht="20.100000000000001" customHeight="1" x14ac:dyDescent="0.3">
      <c r="A8" s="5" t="s">
        <v>15</v>
      </c>
      <c r="B8" s="7" t="s">
        <v>16</v>
      </c>
      <c r="C8" s="14" t="s">
        <v>50</v>
      </c>
      <c r="D8" s="11" t="s">
        <v>51</v>
      </c>
    </row>
    <row r="9" spans="1:4" ht="20.100000000000001" customHeight="1" x14ac:dyDescent="0.3">
      <c r="A9" s="5" t="s">
        <v>17</v>
      </c>
      <c r="B9" s="7" t="s">
        <v>18</v>
      </c>
      <c r="C9" s="6"/>
      <c r="D9" s="7"/>
    </row>
    <row r="10" spans="1:4" ht="20.100000000000001" customHeight="1" x14ac:dyDescent="0.3">
      <c r="A10" s="5" t="s">
        <v>19</v>
      </c>
      <c r="B10" s="7" t="s">
        <v>20</v>
      </c>
      <c r="C10" s="6"/>
      <c r="D10" s="7"/>
    </row>
    <row r="11" spans="1:4" ht="20.100000000000001" customHeight="1" x14ac:dyDescent="0.3">
      <c r="A11" s="5" t="s">
        <v>21</v>
      </c>
      <c r="B11" s="7" t="s">
        <v>22</v>
      </c>
      <c r="C11" s="6"/>
      <c r="D11" s="7"/>
    </row>
    <row r="12" spans="1:4" ht="20.100000000000001" customHeight="1" x14ac:dyDescent="0.3">
      <c r="A12" s="5" t="s">
        <v>23</v>
      </c>
      <c r="B12" s="7" t="s">
        <v>24</v>
      </c>
      <c r="C12" s="6" t="s">
        <v>25</v>
      </c>
      <c r="D12" s="7" t="s">
        <v>26</v>
      </c>
    </row>
    <row r="13" spans="1:4" ht="20.100000000000001" customHeight="1" x14ac:dyDescent="0.3">
      <c r="A13" s="10" t="s">
        <v>43</v>
      </c>
      <c r="B13" s="11" t="s">
        <v>44</v>
      </c>
      <c r="C13" s="6" t="s">
        <v>27</v>
      </c>
      <c r="D13" s="7"/>
    </row>
    <row r="14" spans="1:4" ht="20.100000000000001" customHeight="1" thickBot="1" x14ac:dyDescent="0.35">
      <c r="A14" s="5" t="s">
        <v>28</v>
      </c>
      <c r="B14" s="7" t="s">
        <v>29</v>
      </c>
      <c r="C14" s="6" t="s">
        <v>30</v>
      </c>
      <c r="D14" s="7" t="s">
        <v>31</v>
      </c>
    </row>
    <row r="15" spans="1:4" ht="44.25" customHeight="1" thickBot="1" x14ac:dyDescent="0.35">
      <c r="A15" s="5" t="s">
        <v>32</v>
      </c>
      <c r="B15" s="7" t="s">
        <v>33</v>
      </c>
      <c r="C15" s="6" t="s">
        <v>34</v>
      </c>
      <c r="D15" s="12" t="s">
        <v>49</v>
      </c>
    </row>
    <row r="16" spans="1:4" ht="20.100000000000001" customHeight="1" thickBot="1" x14ac:dyDescent="0.35">
      <c r="A16" s="5" t="s">
        <v>35</v>
      </c>
      <c r="B16" s="7" t="s">
        <v>36</v>
      </c>
      <c r="C16" s="6"/>
      <c r="D16" s="7"/>
    </row>
    <row r="17" spans="1:4" ht="20.100000000000001" customHeight="1" thickBot="1" x14ac:dyDescent="0.35">
      <c r="A17" s="8" t="s">
        <v>37</v>
      </c>
      <c r="B17" s="9" t="s">
        <v>38</v>
      </c>
      <c r="C17" s="2" t="s">
        <v>30</v>
      </c>
      <c r="D17" s="9"/>
    </row>
    <row r="18" spans="1:4" ht="32.1" customHeight="1" x14ac:dyDescent="0.3">
      <c r="A18" s="18" t="s">
        <v>27</v>
      </c>
      <c r="B18" s="20"/>
      <c r="C18" s="20"/>
      <c r="D18" s="21"/>
    </row>
    <row r="19" spans="1:4" x14ac:dyDescent="0.3">
      <c r="A19" s="19"/>
      <c r="B19" s="22"/>
      <c r="C19" s="22"/>
      <c r="D19" s="23"/>
    </row>
  </sheetData>
  <mergeCells count="3">
    <mergeCell ref="A1:D1"/>
    <mergeCell ref="A18:A19"/>
    <mergeCell ref="B18:D19"/>
  </mergeCells>
  <phoneticPr fontId="3" type="noConversion"/>
  <dataValidations count="16">
    <dataValidation type="list" allowBlank="1" showInputMessage="1" showErrorMessage="1" sqref="B4" xr:uid="{00000000-0002-0000-0000-000000000000}">
      <formula1>"2,4,6,8,10,12"</formula1>
    </dataValidation>
    <dataValidation type="list" allowBlank="1" showInputMessage="1" showErrorMessage="1" sqref="D4" xr:uid="{00000000-0002-0000-0000-000001000000}">
      <formula1>"0.8,1.0,1.2,1.6,2.0"</formula1>
    </dataValidation>
    <dataValidation type="list" allowBlank="1" showInputMessage="1" showErrorMessage="1" sqref="B6" xr:uid="{00000000-0002-0000-0000-000002000000}">
      <formula1>"FR-4,铝基板,铜基板,陶瓷板,高TG板材"</formula1>
    </dataValidation>
    <dataValidation type="list" allowBlank="1" showInputMessage="1" showErrorMessage="1" sqref="B7" xr:uid="{00000000-0002-0000-0000-000003000000}">
      <formula1>"绿色,蓝色,黑色,红色,白色"</formula1>
    </dataValidation>
    <dataValidation type="list" allowBlank="1" showInputMessage="1" showErrorMessage="1" sqref="D7" xr:uid="{00000000-0002-0000-0000-000004000000}">
      <formula1>"白色,黑色"</formula1>
    </dataValidation>
    <dataValidation type="list" allowBlank="1" showInputMessage="1" showErrorMessage="1" sqref="B8" xr:uid="{00000000-0002-0000-0000-000005000000}">
      <formula1>"按合同数量,自定义"</formula1>
    </dataValidation>
    <dataValidation type="list" allowBlank="1" showInputMessage="1" showErrorMessage="1" sqref="B9" xr:uid="{00000000-0002-0000-0000-000006000000}">
      <formula1>"按GERBER,按PCB文件"</formula1>
    </dataValidation>
    <dataValidation type="list" allowBlank="1" showInputMessage="1" showErrorMessage="1" sqref="B10" xr:uid="{00000000-0002-0000-0000-000007000000}">
      <formula1>"无铅喷锡,沉金,沉银"</formula1>
    </dataValidation>
    <dataValidation type="list" allowBlank="1" showInputMessage="1" showErrorMessage="1" sqref="B11" xr:uid="{00000000-0002-0000-0000-000008000000}">
      <formula1>"盖油,塞油,树脂塞孔,灌铜"</formula1>
    </dataValidation>
    <dataValidation type="list" allowBlank="1" showInputMessage="1" showErrorMessage="1" sqref="B12" xr:uid="{00000000-0002-0000-0000-000009000000}">
      <formula1>"1OZ,2OZ,3OZ"</formula1>
    </dataValidation>
    <dataValidation type="list" allowBlank="1" showInputMessage="1" showErrorMessage="1" sqref="D12" xr:uid="{00000000-0002-0000-0000-00000A000000}">
      <formula1>"0.5OZ,1OZ,2OZ"</formula1>
    </dataValidation>
    <dataValidation type="list" allowBlank="1" showInputMessage="1" showErrorMessage="1" sqref="B13" xr:uid="{00000000-0002-0000-0000-00000B000000}">
      <formula1>"二级"</formula1>
    </dataValidation>
    <dataValidation type="list" allowBlank="1" showInputMessage="1" showErrorMessage="1" sqref="B14" xr:uid="{00000000-0002-0000-0000-00000C000000}">
      <formula1>"是,否"</formula1>
    </dataValidation>
    <dataValidation type="list" allowBlank="1" showInputMessage="1" showErrorMessage="1" sqref="B15" xr:uid="{00000000-0002-0000-0000-00000D000000}">
      <formula1>"ROHS,REACH"</formula1>
    </dataValidation>
    <dataValidation type="list" allowBlank="1" showInputMessage="1" showErrorMessage="1" sqref="B16" xr:uid="{00000000-0002-0000-0000-00000E000000}">
      <formula1>"不拼板,供应商自行拼板,自定义"</formula1>
    </dataValidation>
    <dataValidation type="list" allowBlank="1" showInputMessage="1" showErrorMessage="1" sqref="B17" xr:uid="{00000000-0002-0000-0000-00000F000000}">
      <formula1>"不固定自行贴,固定Label区域"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15" zoomScaleNormal="115" workbookViewId="0">
      <selection activeCell="B2" sqref="B2"/>
    </sheetView>
  </sheetViews>
  <sheetFormatPr defaultColWidth="9" defaultRowHeight="13.5" x14ac:dyDescent="0.3"/>
  <cols>
    <col min="1" max="1" width="60.1328125" customWidth="1"/>
    <col min="2" max="2" width="21" customWidth="1"/>
  </cols>
  <sheetData>
    <row r="1" spans="1:2" ht="360" customHeight="1" x14ac:dyDescent="0.3">
      <c r="A1" t="str">
        <f>_xlfn.DISPIMG("ID_822914369CC94B629AFD1D5AB6E34DEF",1)</f>
        <v>=DISPIMG("ID_822914369CC94B629AFD1D5AB6E34DEF",1)</v>
      </c>
      <c r="B1" s="1" t="s">
        <v>39</v>
      </c>
    </row>
    <row r="2" spans="1:2" ht="365.1" customHeight="1" x14ac:dyDescent="0.3">
      <c r="A2" t="str">
        <f>_xlfn.DISPIMG("ID_C4928B74F0AA4FDAA98752FEAF11365E",1)</f>
        <v>=DISPIMG("ID_C4928B74F0AA4FDAA98752FEAF11365E",1)</v>
      </c>
      <c r="B2" s="1" t="s">
        <v>40</v>
      </c>
    </row>
    <row r="3" spans="1:2" ht="27" x14ac:dyDescent="0.3">
      <c r="A3" t="str">
        <f>_xlfn.DISPIMG("ID_98744D6D509A4B2D9A87698C6921E555",1)</f>
        <v>=DISPIMG("ID_98744D6D509A4B2D9A87698C6921E555",1)</v>
      </c>
      <c r="B3" s="1" t="s">
        <v>41</v>
      </c>
    </row>
    <row r="4" spans="1:2" ht="27" x14ac:dyDescent="0.3">
      <c r="A4" t="str">
        <f>_xlfn.DISPIMG("ID_FE2F1D1276914D8E8459EDA1951F8834",1)</f>
        <v>=DISPIMG("ID_FE2F1D1276914D8E8459EDA1951F8834",1)</v>
      </c>
      <c r="B4" s="1" t="s">
        <v>42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C5" sqref="C5"/>
    </sheetView>
  </sheetViews>
  <sheetFormatPr defaultColWidth="9" defaultRowHeight="13.5" x14ac:dyDescent="0.3"/>
  <cols>
    <col min="1" max="1" width="54.86328125" customWidth="1"/>
  </cols>
  <sheetData>
    <row r="1" spans="1:1" ht="230.1" customHeight="1" x14ac:dyDescent="0.3"/>
    <row r="2" spans="1:1" ht="53.1" customHeight="1" x14ac:dyDescent="0.3">
      <c r="A2" s="1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附图1</vt:lpstr>
      <vt:lpstr>附图2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81110</dc:creator>
  <cp:lastModifiedBy>煜 曾</cp:lastModifiedBy>
  <cp:lastPrinted>2026-07-29T07:17:00Z</cp:lastPrinted>
  <dcterms:created xsi:type="dcterms:W3CDTF">2023-05-12T11:15:00Z</dcterms:created>
  <dcterms:modified xsi:type="dcterms:W3CDTF">2026-09-16T09:31:05Z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91756A9E802341C5BE5CEE91B8A76522_12</vt:lpwstr>
  </property>
  <property fmtid="{D5CDD505-2E9C-101B-9397-08002B2CF9AE}" pid="4" name="CalculationRule">
    <vt:i4>0</vt:i4>
  </property>
</Properties>
</file>